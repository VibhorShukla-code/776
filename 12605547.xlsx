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ython\Project Data\776\"/>
    </mc:Choice>
  </mc:AlternateContent>
  <xr:revisionPtr revIDLastSave="0" documentId="13_ncr:1_{94EF2651-3891-491D-ABD2-0631734FF0FC}" xr6:coauthVersionLast="47" xr6:coauthVersionMax="47" xr10:uidLastSave="{00000000-0000-0000-0000-000000000000}"/>
  <bookViews>
    <workbookView xWindow="-120" yWindow="-120" windowWidth="29040" windowHeight="18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7" i="2" l="1"/>
  <c r="J17" i="2" s="1"/>
  <c r="I401" i="2"/>
  <c r="J401" i="2" s="1"/>
  <c r="I400" i="2"/>
  <c r="J400" i="2" s="1"/>
  <c r="I399" i="2"/>
  <c r="J399" i="2" s="1"/>
  <c r="I398" i="2"/>
  <c r="J398" i="2" s="1"/>
  <c r="J397" i="2"/>
  <c r="I397" i="2"/>
  <c r="I396" i="2"/>
  <c r="J396" i="2" s="1"/>
  <c r="J395" i="2"/>
  <c r="I395" i="2"/>
  <c r="J394" i="2"/>
  <c r="I394" i="2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J387" i="2"/>
  <c r="I387" i="2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J379" i="2"/>
  <c r="I379" i="2"/>
  <c r="I378" i="2"/>
  <c r="J378" i="2" s="1"/>
  <c r="I377" i="2"/>
  <c r="J377" i="2" s="1"/>
  <c r="I376" i="2"/>
  <c r="J376" i="2" s="1"/>
  <c r="I375" i="2"/>
  <c r="J375" i="2" s="1"/>
  <c r="I374" i="2"/>
  <c r="J374" i="2" s="1"/>
  <c r="J373" i="2"/>
  <c r="I373" i="2"/>
  <c r="J372" i="2"/>
  <c r="I372" i="2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J365" i="2"/>
  <c r="I365" i="2"/>
  <c r="I364" i="2"/>
  <c r="J364" i="2" s="1"/>
  <c r="J363" i="2"/>
  <c r="I363" i="2"/>
  <c r="J362" i="2"/>
  <c r="I362" i="2"/>
  <c r="I361" i="2"/>
  <c r="J361" i="2" s="1"/>
  <c r="I360" i="2"/>
  <c r="J360" i="2" s="1"/>
  <c r="I359" i="2"/>
  <c r="J359" i="2" s="1"/>
  <c r="I358" i="2"/>
  <c r="J358" i="2" s="1"/>
  <c r="J357" i="2"/>
  <c r="I357" i="2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J341" i="2"/>
  <c r="I341" i="2"/>
  <c r="J340" i="2"/>
  <c r="I340" i="2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J331" i="2"/>
  <c r="I331" i="2"/>
  <c r="J330" i="2"/>
  <c r="I330" i="2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J309" i="2"/>
  <c r="I309" i="2"/>
  <c r="J308" i="2"/>
  <c r="I308" i="2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J299" i="2"/>
  <c r="I299" i="2"/>
  <c r="J298" i="2"/>
  <c r="I298" i="2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J277" i="2"/>
  <c r="I277" i="2"/>
  <c r="J276" i="2"/>
  <c r="I276" i="2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J267" i="2"/>
  <c r="I267" i="2"/>
  <c r="J266" i="2"/>
  <c r="I266" i="2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J245" i="2"/>
  <c r="I245" i="2"/>
  <c r="J244" i="2"/>
  <c r="I244" i="2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J235" i="2"/>
  <c r="I235" i="2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J213" i="2"/>
  <c r="I213" i="2"/>
  <c r="J212" i="2"/>
  <c r="I212" i="2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J202" i="2"/>
  <c r="I202" i="2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J180" i="2"/>
  <c r="I180" i="2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J170" i="2"/>
  <c r="I170" i="2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J148" i="2"/>
  <c r="I148" i="2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J138" i="2"/>
  <c r="I138" i="2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J116" i="2"/>
  <c r="I116" i="2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J106" i="2"/>
  <c r="I106" i="2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J84" i="2"/>
  <c r="I84" i="2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J74" i="2"/>
  <c r="I74" i="2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J52" i="2"/>
  <c r="I52" i="2"/>
  <c r="I51" i="2"/>
  <c r="J51" i="2" s="1"/>
  <c r="J50" i="2"/>
  <c r="I50" i="2"/>
  <c r="I49" i="2"/>
  <c r="J49" i="2" s="1"/>
  <c r="I48" i="2"/>
  <c r="J48" i="2" s="1"/>
  <c r="I47" i="2"/>
  <c r="J47" i="2" s="1"/>
  <c r="I46" i="2"/>
  <c r="J46" i="2" s="1"/>
  <c r="J45" i="2"/>
  <c r="I45" i="2"/>
  <c r="I44" i="2"/>
  <c r="J44" i="2" s="1"/>
  <c r="I43" i="2"/>
  <c r="J43" i="2" s="1"/>
  <c r="J42" i="2"/>
  <c r="I42" i="2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J35" i="2"/>
  <c r="I35" i="2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J28" i="2"/>
  <c r="I28" i="2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/>
</calcChain>
</file>

<file path=xl/sharedStrings.xml><?xml version="1.0" encoding="utf-8"?>
<sst xmlns="http://schemas.openxmlformats.org/spreadsheetml/2006/main" count="138" uniqueCount="68">
  <si>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</si>
  <si>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</si>
  <si>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</si>
  <si>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</si>
  <si>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</si>
  <si>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</si>
  <si>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</si>
  <si>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</si>
  <si>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</si>
  <si>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</si>
  <si>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</si>
  <si>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</si>
  <si>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</si>
  <si>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</si>
  <si>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</si>
  <si>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</si>
  <si>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</si>
  <si>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</si>
  <si>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</si>
  <si>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</si>
  <si>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</si>
  <si>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</si>
  <si>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</si>
  <si>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</si>
  <si>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</si>
  <si>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</si>
  <si>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</si>
  <si>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</si>
  <si>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</si>
  <si>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</si>
  <si>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</si>
  <si>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</si>
  <si>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</si>
  <si>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</si>
  <si>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</si>
  <si>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</si>
  <si>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</si>
  <si>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</si>
  <si>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</si>
  <si>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</si>
  <si>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</si>
  <si>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</si>
  <si>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</si>
  <si>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</si>
  <si>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</si>
  <si>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</si>
  <si>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</si>
  <si>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</si>
  <si>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</si>
  <si>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</si>
  <si>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Vibhor Shukla</t>
  </si>
  <si>
    <t>D1P2632</t>
  </si>
  <si>
    <t>August</t>
  </si>
  <si>
    <t>Low</t>
  </si>
  <si>
    <t>Not Satisfied</t>
  </si>
  <si>
    <t>Average</t>
  </si>
  <si>
    <t>Feeling very tired after classes</t>
  </si>
  <si>
    <t>Satisfied</t>
  </si>
  <si>
    <t>Medium</t>
  </si>
  <si>
    <t>Feeling low after classes</t>
  </si>
  <si>
    <t>Good</t>
  </si>
  <si>
    <t>Feeling tired after classes</t>
  </si>
  <si>
    <t>Not productive</t>
  </si>
  <si>
    <t>Below Average</t>
  </si>
  <si>
    <t>Above Average</t>
  </si>
  <si>
    <t>Not productive enough</t>
  </si>
  <si>
    <t>Productive, but not efficient</t>
  </si>
  <si>
    <t>20266-09-07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</si>
</sst>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710937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49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R16" sqref="R16"/>
    </sheetView>
  </sheetViews>
  <sheetFormatPr defaultColWidth="8.710937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50</v>
      </c>
      <c r="C2" s="20"/>
      <c r="D2" s="20"/>
      <c r="E2" s="6" t="s">
        <v>31</v>
      </c>
      <c r="F2" s="21">
        <v>12605547</v>
      </c>
      <c r="G2" s="22"/>
    </row>
    <row r="3" spans="1:14" ht="19.5" customHeight="1" x14ac:dyDescent="0.25">
      <c r="A3" s="6" t="s">
        <v>32</v>
      </c>
      <c r="B3" s="20" t="s">
        <v>51</v>
      </c>
      <c r="C3" s="20"/>
      <c r="D3" s="20"/>
      <c r="E3" s="6" t="s">
        <v>33</v>
      </c>
      <c r="F3" s="21" t="s">
        <v>52</v>
      </c>
      <c r="G3" s="22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>
        <v>46252</v>
      </c>
      <c r="B6" s="9">
        <v>420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180</v>
      </c>
      <c r="I6" s="10">
        <v>900</v>
      </c>
      <c r="J6" s="10">
        <f>IF(I6="","",1440-I6)</f>
        <v>540</v>
      </c>
      <c r="K6" s="11" t="s">
        <v>55</v>
      </c>
      <c r="L6" s="11" t="s">
        <v>54</v>
      </c>
      <c r="M6" s="11" t="s">
        <v>53</v>
      </c>
      <c r="N6" s="12" t="s">
        <v>56</v>
      </c>
    </row>
    <row r="7" spans="1:14" x14ac:dyDescent="0.25">
      <c r="A7" s="13">
        <v>46253</v>
      </c>
      <c r="B7" s="14">
        <v>360</v>
      </c>
      <c r="C7" s="14">
        <v>0</v>
      </c>
      <c r="D7" s="14">
        <v>0</v>
      </c>
      <c r="E7" s="14">
        <v>0</v>
      </c>
      <c r="F7" s="14">
        <v>350</v>
      </c>
      <c r="G7" s="14">
        <v>7</v>
      </c>
      <c r="H7" s="14">
        <v>120</v>
      </c>
      <c r="I7" s="15">
        <f t="shared" ref="I7:I69" si="0">IF(SUM(B7:F7,H7)=0,"",SUM(B7:F7,H7))</f>
        <v>830</v>
      </c>
      <c r="J7" s="15">
        <f t="shared" ref="J7:J69" si="1">IF(I7="","",1440-I7)</f>
        <v>610</v>
      </c>
      <c r="K7" s="16" t="s">
        <v>55</v>
      </c>
      <c r="L7" s="16" t="s">
        <v>57</v>
      </c>
      <c r="M7" s="16" t="s">
        <v>58</v>
      </c>
      <c r="N7" s="17" t="s">
        <v>59</v>
      </c>
    </row>
    <row r="8" spans="1:14" x14ac:dyDescent="0.25">
      <c r="A8" s="13">
        <v>46254</v>
      </c>
      <c r="B8" s="14">
        <v>360</v>
      </c>
      <c r="C8" s="14">
        <v>0</v>
      </c>
      <c r="D8" s="14">
        <v>0</v>
      </c>
      <c r="E8" s="14">
        <v>120</v>
      </c>
      <c r="F8" s="14">
        <v>150</v>
      </c>
      <c r="G8" s="14">
        <v>3</v>
      </c>
      <c r="H8" s="14">
        <v>60</v>
      </c>
      <c r="I8" s="15">
        <f t="shared" si="0"/>
        <v>690</v>
      </c>
      <c r="J8" s="15">
        <f t="shared" si="1"/>
        <v>750</v>
      </c>
      <c r="K8" s="16" t="s">
        <v>60</v>
      </c>
      <c r="L8" s="16" t="s">
        <v>57</v>
      </c>
      <c r="M8" s="16" t="s">
        <v>58</v>
      </c>
      <c r="N8" s="17" t="s">
        <v>61</v>
      </c>
    </row>
    <row r="9" spans="1:14" x14ac:dyDescent="0.25">
      <c r="A9" s="13">
        <v>46256</v>
      </c>
      <c r="B9" s="14">
        <v>600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180</v>
      </c>
      <c r="I9" s="15">
        <f t="shared" si="0"/>
        <v>780</v>
      </c>
      <c r="J9" s="15">
        <f t="shared" si="1"/>
        <v>660</v>
      </c>
      <c r="K9" s="16" t="s">
        <v>55</v>
      </c>
      <c r="L9" s="16" t="s">
        <v>54</v>
      </c>
      <c r="M9" s="16" t="s">
        <v>53</v>
      </c>
      <c r="N9" s="17" t="s">
        <v>62</v>
      </c>
    </row>
    <row r="10" spans="1:14" ht="30" x14ac:dyDescent="0.25">
      <c r="A10" s="13">
        <v>46257</v>
      </c>
      <c r="B10" s="14">
        <v>480</v>
      </c>
      <c r="C10" s="14">
        <v>15</v>
      </c>
      <c r="D10" s="14">
        <v>120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765</v>
      </c>
      <c r="J10" s="15">
        <f t="shared" si="1"/>
        <v>675</v>
      </c>
      <c r="K10" s="16" t="s">
        <v>64</v>
      </c>
      <c r="L10" s="16" t="s">
        <v>54</v>
      </c>
      <c r="M10" s="16" t="s">
        <v>58</v>
      </c>
      <c r="N10" s="17" t="s">
        <v>65</v>
      </c>
    </row>
    <row r="11" spans="1:14" ht="30" x14ac:dyDescent="0.25">
      <c r="A11" s="13">
        <v>46258</v>
      </c>
      <c r="B11" s="14">
        <v>420</v>
      </c>
      <c r="C11" s="14">
        <v>0</v>
      </c>
      <c r="D11" s="14">
        <v>120</v>
      </c>
      <c r="E11" s="14">
        <v>0</v>
      </c>
      <c r="F11" s="14">
        <v>250</v>
      </c>
      <c r="G11" s="14">
        <v>5</v>
      </c>
      <c r="H11" s="14">
        <v>50</v>
      </c>
      <c r="I11" s="15">
        <f t="shared" si="0"/>
        <v>840</v>
      </c>
      <c r="J11" s="15">
        <f t="shared" si="1"/>
        <v>600</v>
      </c>
      <c r="K11" s="16" t="s">
        <v>63</v>
      </c>
      <c r="L11" s="16" t="s">
        <v>54</v>
      </c>
      <c r="M11" s="16" t="s">
        <v>58</v>
      </c>
      <c r="N11" s="17" t="s">
        <v>65</v>
      </c>
    </row>
    <row r="12" spans="1:14" x14ac:dyDescent="0.25">
      <c r="A12" s="13">
        <v>46259</v>
      </c>
      <c r="B12" s="14">
        <v>420</v>
      </c>
      <c r="C12" s="14">
        <v>0</v>
      </c>
      <c r="D12" s="14">
        <v>120</v>
      </c>
      <c r="E12" s="14">
        <v>0</v>
      </c>
      <c r="F12" s="14">
        <v>400</v>
      </c>
      <c r="G12" s="14">
        <v>8</v>
      </c>
      <c r="H12" s="14">
        <v>100</v>
      </c>
      <c r="I12" s="15">
        <f t="shared" si="0"/>
        <v>1040</v>
      </c>
      <c r="J12" s="15">
        <f t="shared" si="1"/>
        <v>400</v>
      </c>
      <c r="K12" s="16" t="s">
        <v>55</v>
      </c>
      <c r="L12" s="16" t="s">
        <v>54</v>
      </c>
      <c r="M12" s="16" t="s">
        <v>58</v>
      </c>
      <c r="N12" s="17" t="s">
        <v>65</v>
      </c>
    </row>
    <row r="13" spans="1:14" ht="30" x14ac:dyDescent="0.25">
      <c r="A13" s="13">
        <v>46260</v>
      </c>
      <c r="B13" s="14">
        <v>360</v>
      </c>
      <c r="C13" s="14">
        <v>0</v>
      </c>
      <c r="D13" s="14">
        <v>45</v>
      </c>
      <c r="E13" s="14">
        <v>20</v>
      </c>
      <c r="F13" s="14">
        <v>350</v>
      </c>
      <c r="G13" s="14">
        <v>7</v>
      </c>
      <c r="H13" s="14">
        <v>150</v>
      </c>
      <c r="I13" s="15">
        <f t="shared" si="0"/>
        <v>925</v>
      </c>
      <c r="J13" s="15">
        <f t="shared" si="1"/>
        <v>515</v>
      </c>
      <c r="K13" s="16" t="s">
        <v>63</v>
      </c>
      <c r="L13" s="16" t="s">
        <v>54</v>
      </c>
      <c r="M13" s="16" t="s">
        <v>58</v>
      </c>
      <c r="N13" s="17" t="s">
        <v>62</v>
      </c>
    </row>
    <row r="14" spans="1:14" x14ac:dyDescent="0.25">
      <c r="A14" s="13">
        <v>46261</v>
      </c>
      <c r="B14" s="14">
        <v>360</v>
      </c>
      <c r="C14" s="14">
        <v>0</v>
      </c>
      <c r="D14" s="14">
        <v>300</v>
      </c>
      <c r="E14" s="14">
        <v>120</v>
      </c>
      <c r="F14" s="14">
        <v>150</v>
      </c>
      <c r="G14" s="14">
        <v>3</v>
      </c>
      <c r="H14" s="14">
        <v>80</v>
      </c>
      <c r="I14" s="15">
        <f t="shared" si="0"/>
        <v>1010</v>
      </c>
      <c r="J14" s="15">
        <f t="shared" si="1"/>
        <v>430</v>
      </c>
      <c r="K14" s="16" t="s">
        <v>55</v>
      </c>
      <c r="L14" s="16" t="s">
        <v>54</v>
      </c>
      <c r="M14" s="16" t="s">
        <v>58</v>
      </c>
      <c r="N14" s="17" t="s">
        <v>66</v>
      </c>
    </row>
    <row r="15" spans="1:14" x14ac:dyDescent="0.25">
      <c r="A15" s="13">
        <v>46262</v>
      </c>
      <c r="B15" s="14">
        <v>360</v>
      </c>
      <c r="C15" s="14">
        <v>0</v>
      </c>
      <c r="D15" s="14">
        <v>120</v>
      </c>
      <c r="E15" s="14">
        <v>0</v>
      </c>
      <c r="F15" s="14">
        <v>150</v>
      </c>
      <c r="G15" s="14">
        <v>3</v>
      </c>
      <c r="H15" s="14">
        <v>120</v>
      </c>
      <c r="I15" s="15">
        <f t="shared" si="0"/>
        <v>750</v>
      </c>
      <c r="J15" s="15">
        <f t="shared" si="1"/>
        <v>690</v>
      </c>
      <c r="K15" s="16" t="s">
        <v>55</v>
      </c>
      <c r="L15" s="16" t="s">
        <v>54</v>
      </c>
      <c r="M15" s="16" t="s">
        <v>58</v>
      </c>
      <c r="N15" s="17" t="s">
        <v>65</v>
      </c>
    </row>
    <row r="16" spans="1:14" ht="30" x14ac:dyDescent="0.25">
      <c r="A16" s="13">
        <v>46263</v>
      </c>
      <c r="B16" s="14">
        <v>480</v>
      </c>
      <c r="C16" s="14">
        <v>0</v>
      </c>
      <c r="D16" s="14">
        <v>180</v>
      </c>
      <c r="E16" s="14">
        <v>40</v>
      </c>
      <c r="F16" s="14">
        <v>0</v>
      </c>
      <c r="G16" s="14">
        <v>0</v>
      </c>
      <c r="H16" s="14">
        <v>120</v>
      </c>
      <c r="I16" s="15">
        <f t="shared" si="0"/>
        <v>820</v>
      </c>
      <c r="J16" s="15">
        <f t="shared" si="1"/>
        <v>620</v>
      </c>
      <c r="K16" s="16" t="s">
        <v>64</v>
      </c>
      <c r="L16" s="16" t="s">
        <v>54</v>
      </c>
      <c r="M16" s="16" t="s">
        <v>53</v>
      </c>
      <c r="N16" s="17" t="s">
        <v>66</v>
      </c>
    </row>
    <row r="17" spans="1:14" ht="30" x14ac:dyDescent="0.25">
      <c r="A17" s="13">
        <v>46264</v>
      </c>
      <c r="B17" s="14">
        <v>480</v>
      </c>
      <c r="C17" s="14">
        <v>0</v>
      </c>
      <c r="D17" s="14">
        <v>200</v>
      </c>
      <c r="E17" s="14">
        <v>60</v>
      </c>
      <c r="F17" s="14">
        <v>0</v>
      </c>
      <c r="G17" s="14">
        <v>0</v>
      </c>
      <c r="H17" s="14">
        <v>90</v>
      </c>
      <c r="I17" s="15">
        <f t="shared" ref="I17" si="2">IF(SUM(B17:F17,H17)=0,"",SUM(B17:F17,H17))</f>
        <v>830</v>
      </c>
      <c r="J17" s="15">
        <f t="shared" ref="J17" si="3">IF(I17="","",1440-I17)</f>
        <v>610</v>
      </c>
      <c r="K17" s="16" t="s">
        <v>64</v>
      </c>
      <c r="L17" s="16" t="s">
        <v>54</v>
      </c>
      <c r="M17" s="16" t="s">
        <v>53</v>
      </c>
      <c r="N17" s="17" t="s">
        <v>66</v>
      </c>
    </row>
    <row r="18" spans="1:14" x14ac:dyDescent="0.25">
      <c r="A18" s="13">
        <v>46265</v>
      </c>
      <c r="B18" s="14">
        <v>450</v>
      </c>
      <c r="C18" s="14">
        <v>0</v>
      </c>
      <c r="D18" s="14">
        <v>180</v>
      </c>
      <c r="E18" s="14">
        <v>0</v>
      </c>
      <c r="F18" s="14">
        <v>250</v>
      </c>
      <c r="G18" s="14">
        <v>5</v>
      </c>
      <c r="H18" s="14">
        <v>80</v>
      </c>
      <c r="I18" s="15">
        <f t="shared" si="0"/>
        <v>960</v>
      </c>
      <c r="J18" s="15">
        <f t="shared" si="1"/>
        <v>480</v>
      </c>
      <c r="K18" s="16" t="s">
        <v>55</v>
      </c>
      <c r="L18" s="16" t="s">
        <v>54</v>
      </c>
      <c r="M18" s="16" t="s">
        <v>53</v>
      </c>
      <c r="N18" s="17" t="s">
        <v>66</v>
      </c>
    </row>
    <row r="19" spans="1:14" x14ac:dyDescent="0.25">
      <c r="A19" s="13">
        <v>46266</v>
      </c>
      <c r="B19" s="14">
        <v>390</v>
      </c>
      <c r="C19" s="14">
        <v>0</v>
      </c>
      <c r="D19" s="14">
        <v>60</v>
      </c>
      <c r="E19" s="14">
        <v>25</v>
      </c>
      <c r="F19" s="14">
        <v>400</v>
      </c>
      <c r="G19" s="14">
        <v>8</v>
      </c>
      <c r="H19" s="14">
        <v>60</v>
      </c>
      <c r="I19" s="15">
        <f t="shared" si="0"/>
        <v>935</v>
      </c>
      <c r="J19" s="15">
        <f t="shared" si="1"/>
        <v>505</v>
      </c>
      <c r="K19" s="16" t="s">
        <v>55</v>
      </c>
      <c r="L19" s="16" t="s">
        <v>54</v>
      </c>
      <c r="M19" s="16" t="s">
        <v>58</v>
      </c>
      <c r="N19" s="17" t="s">
        <v>62</v>
      </c>
    </row>
    <row r="20" spans="1:14" x14ac:dyDescent="0.25">
      <c r="A20" s="13">
        <v>46267</v>
      </c>
      <c r="B20" s="14">
        <v>360</v>
      </c>
      <c r="C20" s="14">
        <v>0</v>
      </c>
      <c r="D20" s="14">
        <v>150</v>
      </c>
      <c r="E20" s="14">
        <v>0</v>
      </c>
      <c r="F20" s="14">
        <v>350</v>
      </c>
      <c r="G20" s="14">
        <v>7</v>
      </c>
      <c r="H20" s="14">
        <v>60</v>
      </c>
      <c r="I20" s="15">
        <f t="shared" si="0"/>
        <v>920</v>
      </c>
      <c r="J20" s="15">
        <f t="shared" si="1"/>
        <v>520</v>
      </c>
      <c r="K20" s="16" t="s">
        <v>55</v>
      </c>
      <c r="L20" s="16" t="s">
        <v>54</v>
      </c>
      <c r="M20" s="16" t="s">
        <v>58</v>
      </c>
      <c r="N20" s="17" t="s">
        <v>66</v>
      </c>
    </row>
    <row r="21" spans="1:14" x14ac:dyDescent="0.25">
      <c r="A21" s="13">
        <v>46268</v>
      </c>
      <c r="B21" s="14">
        <v>360</v>
      </c>
      <c r="C21" s="14">
        <v>0</v>
      </c>
      <c r="D21" s="14">
        <v>50</v>
      </c>
      <c r="E21" s="14">
        <v>0</v>
      </c>
      <c r="F21" s="14">
        <v>180</v>
      </c>
      <c r="G21" s="14">
        <v>3</v>
      </c>
      <c r="H21" s="14">
        <v>240</v>
      </c>
      <c r="I21" s="15">
        <f t="shared" si="0"/>
        <v>830</v>
      </c>
      <c r="J21" s="15">
        <f t="shared" si="1"/>
        <v>610</v>
      </c>
      <c r="K21" s="16" t="s">
        <v>55</v>
      </c>
      <c r="L21" s="16" t="s">
        <v>57</v>
      </c>
      <c r="M21" s="16" t="s">
        <v>58</v>
      </c>
      <c r="N21" s="17" t="s">
        <v>62</v>
      </c>
    </row>
    <row r="22" spans="1:14" x14ac:dyDescent="0.25">
      <c r="A22" s="13">
        <v>46269</v>
      </c>
      <c r="B22" s="14">
        <v>390</v>
      </c>
      <c r="C22" s="14">
        <v>0</v>
      </c>
      <c r="D22" s="14">
        <v>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55</v>
      </c>
      <c r="L22" s="16" t="s">
        <v>54</v>
      </c>
      <c r="M22" s="16" t="s">
        <v>53</v>
      </c>
      <c r="N22" s="17" t="s">
        <v>62</v>
      </c>
    </row>
    <row r="23" spans="1:14" ht="30" x14ac:dyDescent="0.25">
      <c r="A23" s="13">
        <v>46270</v>
      </c>
      <c r="B23" s="14">
        <v>420</v>
      </c>
      <c r="C23" s="14">
        <v>0</v>
      </c>
      <c r="D23" s="14">
        <v>120</v>
      </c>
      <c r="E23" s="14">
        <v>0</v>
      </c>
      <c r="F23" s="14">
        <v>0</v>
      </c>
      <c r="G23" s="14">
        <v>0</v>
      </c>
      <c r="H23" s="14">
        <v>60</v>
      </c>
      <c r="I23" s="15">
        <f t="shared" si="0"/>
        <v>600</v>
      </c>
      <c r="J23" s="15">
        <f t="shared" si="1"/>
        <v>840</v>
      </c>
      <c r="K23" s="16" t="s">
        <v>63</v>
      </c>
      <c r="L23" s="16" t="s">
        <v>54</v>
      </c>
      <c r="M23" s="16" t="s">
        <v>53</v>
      </c>
      <c r="N23" s="17" t="s">
        <v>66</v>
      </c>
    </row>
    <row r="24" spans="1:14" ht="30" x14ac:dyDescent="0.25">
      <c r="A24" s="13">
        <v>46271</v>
      </c>
      <c r="B24" s="14">
        <v>480</v>
      </c>
      <c r="C24" s="14">
        <v>0</v>
      </c>
      <c r="D24" s="14">
        <v>120</v>
      </c>
      <c r="E24" s="14">
        <v>0</v>
      </c>
      <c r="F24" s="14">
        <v>0</v>
      </c>
      <c r="G24" s="14">
        <v>0</v>
      </c>
      <c r="H24" s="14">
        <v>180</v>
      </c>
      <c r="I24" s="15">
        <f t="shared" si="0"/>
        <v>780</v>
      </c>
      <c r="J24" s="15">
        <f t="shared" si="1"/>
        <v>660</v>
      </c>
      <c r="K24" s="16" t="s">
        <v>63</v>
      </c>
      <c r="L24" s="16" t="s">
        <v>54</v>
      </c>
      <c r="M24" s="16" t="s">
        <v>58</v>
      </c>
      <c r="N24" s="17" t="s">
        <v>66</v>
      </c>
    </row>
    <row r="25" spans="1:14" x14ac:dyDescent="0.25">
      <c r="A25" s="13" t="s">
        <v>67</v>
      </c>
      <c r="B25" s="14">
        <v>360</v>
      </c>
      <c r="C25" s="14">
        <v>0</v>
      </c>
      <c r="D25" s="14">
        <v>90</v>
      </c>
      <c r="E25" s="14">
        <v>0</v>
      </c>
      <c r="F25" s="14">
        <v>250</v>
      </c>
      <c r="G25" s="14">
        <v>5</v>
      </c>
      <c r="H25" s="14">
        <v>60</v>
      </c>
      <c r="I25" s="15">
        <f t="shared" si="0"/>
        <v>760</v>
      </c>
      <c r="J25" s="15">
        <f t="shared" si="1"/>
        <v>680</v>
      </c>
      <c r="K25" s="16" t="s">
        <v>55</v>
      </c>
      <c r="L25" s="16" t="s">
        <v>54</v>
      </c>
      <c r="M25" s="16" t="s">
        <v>58</v>
      </c>
      <c r="N25" s="17" t="s">
        <v>65</v>
      </c>
    </row>
    <row r="26" spans="1:14" x14ac:dyDescent="0.25">
      <c r="A26" s="13">
        <v>46273</v>
      </c>
      <c r="B26" s="14">
        <v>360</v>
      </c>
      <c r="C26" s="14">
        <v>0</v>
      </c>
      <c r="D26" s="14">
        <v>120</v>
      </c>
      <c r="E26" s="14">
        <v>0</v>
      </c>
      <c r="F26" s="14">
        <v>400</v>
      </c>
      <c r="G26" s="14">
        <v>8</v>
      </c>
      <c r="H26" s="14">
        <v>90</v>
      </c>
      <c r="I26" s="15">
        <f t="shared" si="0"/>
        <v>970</v>
      </c>
      <c r="J26" s="15">
        <f t="shared" si="1"/>
        <v>470</v>
      </c>
      <c r="K26" s="16" t="s">
        <v>55</v>
      </c>
      <c r="L26" s="16" t="s">
        <v>54</v>
      </c>
      <c r="M26" s="16" t="s">
        <v>58</v>
      </c>
      <c r="N26" s="17" t="s">
        <v>62</v>
      </c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Vibhor Shukla</cp:lastModifiedBy>
  <cp:revision>0</cp:revision>
  <dcterms:created xsi:type="dcterms:W3CDTF">2026-07-24T11:49:30Z</dcterms:created>
  <dcterms:modified xsi:type="dcterms:W3CDTF">2026-09-08T18:11:22Z</dcterms:modified>
  <dc:language>en-US</dc:language>
</cp:coreProperties>
</file>