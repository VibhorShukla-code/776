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95F270BB-016F-4E77-AF19-6E199FBED1AD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4" i="2" l="1"/>
  <c r="J64" i="2"/>
  <c r="I63" i="2"/>
  <c r="J63" i="2" s="1"/>
  <c r="I62" i="2"/>
  <c r="J62" i="2" s="1"/>
  <c r="I17" i="2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<sst xmlns="http://schemas.openxmlformats.org/spreadsheetml/2006/main" count="286" uniqueCount="87">
  <si>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</si>
  <si>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</si>
  <si>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</si>
  <si>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</si>
  <si>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</si>
  <si>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</si>
  <si>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</si>
  <si>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</si>
  <si>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</si>
  <si>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</si>
  <si>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</si>
  <si>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</si>
  <si>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</si>
  <si>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</si>
  <si>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</si>
  <si>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</si>
  <si>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</si>
  <si>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</si>
  <si>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</si>
  <si>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</si>
  <si>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</si>
  <si>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</si>
  <si>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</si>
  <si>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</si>
  <si>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</si>
  <si>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</si>
  <si>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</si>
  <si>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</si>
  <si>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</si>
  <si>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</si>
  <si>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</si>
  <si>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</si>
  <si>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</si>
  <si>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</si>
  <si>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</si>
  <si>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</si>
  <si>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</si>
  <si>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</si>
  <si>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</si>
  <si>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</si>
  <si>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</si>
  <si>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</si>
  <si>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</si>
  <si>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</si>
  <si>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</si>
  <si>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</si>
  <si>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</si>
  <si>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</si>
  <si>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</si>
  <si>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</si>
  <si>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</si>
  <si>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</si>
  <si>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</si>
  <si>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</si>
  <si>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</si>
  <si>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</si>
  <si>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</si>
  <si>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</si>
  <si>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</si>
  <si>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</si>
  <si>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</si>
  <si>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</si>
  <si>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</si>
  <si>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</si>
  <si>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</si>
  <si>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</si>
  <si>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</si>
  <si>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</si>
  <si>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</si>
  <si>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</si>
  <si>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</si>
  <si>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</si>
  <si>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</si>
  <si>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</si>
  <si>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</si>
  <si>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</si>
  <si>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</si>
  <si>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</si>
  <si>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</si>
  <si>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</si>
  <si>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</si>
  <si>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</si>
  <si>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</si>
  <si>
    <t>Attended doubt sessions</t>
  </si>
  <si>
    <t>1st mid term exam</t>
  </si>
  <si>
    <t>2nd mid term exam</t>
  </si>
  <si>
    <t>3rd mid 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</si>
</sst>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5" activePane="bottomRight" state="frozen"/>
      <selection pane="topRight" activeCell="B1" sqref="B1"/>
      <selection pane="bottomLeft" activeCell="A6" sqref="A6"/>
      <selection pane="bottomRight" activeCell="O61" sqref="O6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>
        <v>46303</v>
      </c>
      <c r="B56" s="14">
        <v>480</v>
      </c>
      <c r="C56" s="14">
        <v>0</v>
      </c>
      <c r="D56" s="14">
        <v>100</v>
      </c>
      <c r="E56" s="14">
        <v>0</v>
      </c>
      <c r="F56" s="14">
        <v>150</v>
      </c>
      <c r="G56" s="14">
        <v>3</v>
      </c>
      <c r="H56" s="14">
        <v>180</v>
      </c>
      <c r="I56" s="15">
        <f t="shared" si="0"/>
        <v>910</v>
      </c>
      <c r="J56" s="15">
        <f t="shared" si="1"/>
        <v>530</v>
      </c>
      <c r="K56" s="16" t="s">
        <v>69</v>
      </c>
      <c r="L56" s="16" t="s">
        <v>70</v>
      </c>
      <c r="M56" s="16" t="s">
        <v>52</v>
      </c>
      <c r="N56" s="17" t="s">
        <v>82</v>
      </c>
    </row>
    <row r="57" spans="1:14" x14ac:dyDescent="0.3">
      <c r="A57" s="13">
        <v>46304</v>
      </c>
      <c r="B57" s="14">
        <v>489</v>
      </c>
      <c r="C57" s="14">
        <v>0</v>
      </c>
      <c r="D57" s="14">
        <v>0</v>
      </c>
      <c r="E57" s="14">
        <v>0</v>
      </c>
      <c r="F57" s="14">
        <v>100</v>
      </c>
      <c r="G57" s="14">
        <v>2</v>
      </c>
      <c r="H57" s="14">
        <v>160</v>
      </c>
      <c r="I57" s="15">
        <f t="shared" si="0"/>
        <v>749</v>
      </c>
      <c r="J57" s="15">
        <f t="shared" si="1"/>
        <v>691</v>
      </c>
      <c r="K57" s="16" t="s">
        <v>52</v>
      </c>
      <c r="L57" s="16" t="s">
        <v>71</v>
      </c>
      <c r="M57" s="16" t="s">
        <v>52</v>
      </c>
      <c r="N57" s="17" t="s">
        <v>83</v>
      </c>
    </row>
    <row r="58" spans="1:14" x14ac:dyDescent="0.3">
      <c r="A58" s="13">
        <v>46305</v>
      </c>
      <c r="B58" s="14">
        <v>480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145</v>
      </c>
      <c r="I58" s="15">
        <f t="shared" si="0"/>
        <v>625</v>
      </c>
      <c r="J58" s="15">
        <f t="shared" si="1"/>
        <v>815</v>
      </c>
      <c r="K58" s="16" t="s">
        <v>52</v>
      </c>
      <c r="L58" s="16" t="s">
        <v>67</v>
      </c>
      <c r="M58" s="16" t="s">
        <v>52</v>
      </c>
      <c r="N58" s="17" t="s">
        <v>59</v>
      </c>
    </row>
    <row r="59" spans="1:14" x14ac:dyDescent="0.3">
      <c r="A59" s="13">
        <v>46306</v>
      </c>
      <c r="B59" s="14">
        <v>240</v>
      </c>
      <c r="C59" s="14">
        <v>0</v>
      </c>
      <c r="D59" s="14">
        <v>50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0"/>
        <v>540</v>
      </c>
      <c r="J59" s="15">
        <f t="shared" si="1"/>
        <v>900</v>
      </c>
      <c r="K59" s="16" t="s">
        <v>69</v>
      </c>
      <c r="L59" s="16" t="s">
        <v>71</v>
      </c>
      <c r="M59" s="16" t="s">
        <v>52</v>
      </c>
      <c r="N59" s="17" t="s">
        <v>73</v>
      </c>
    </row>
    <row r="60" spans="1:14" x14ac:dyDescent="0.3">
      <c r="A60" s="13">
        <v>46307</v>
      </c>
      <c r="B60" s="14">
        <v>300</v>
      </c>
      <c r="C60" s="14">
        <v>0</v>
      </c>
      <c r="D60" s="14">
        <v>200</v>
      </c>
      <c r="E60" s="14">
        <v>0</v>
      </c>
      <c r="F60" s="14">
        <v>0</v>
      </c>
      <c r="G60" s="14">
        <v>0</v>
      </c>
      <c r="H60" s="14">
        <v>170</v>
      </c>
      <c r="I60" s="15">
        <f t="shared" si="0"/>
        <v>670</v>
      </c>
      <c r="J60" s="15">
        <f t="shared" si="1"/>
        <v>770</v>
      </c>
      <c r="K60" s="16" t="s">
        <v>67</v>
      </c>
      <c r="L60" s="16" t="s">
        <v>67</v>
      </c>
      <c r="M60" s="16" t="s">
        <v>75</v>
      </c>
      <c r="N60" s="17" t="s">
        <v>84</v>
      </c>
    </row>
    <row r="61" spans="1:14" x14ac:dyDescent="0.3">
      <c r="A61" s="13">
        <v>46308</v>
      </c>
      <c r="B61" s="14">
        <v>300</v>
      </c>
      <c r="C61" s="14">
        <v>0</v>
      </c>
      <c r="D61" s="14">
        <v>220</v>
      </c>
      <c r="E61" s="14">
        <v>0</v>
      </c>
      <c r="F61" s="14">
        <v>0</v>
      </c>
      <c r="G61" s="14">
        <v>0</v>
      </c>
      <c r="H61" s="14">
        <v>140</v>
      </c>
      <c r="I61" s="15">
        <f t="shared" si="0"/>
        <v>660</v>
      </c>
      <c r="J61" s="15">
        <f t="shared" si="1"/>
        <v>780</v>
      </c>
      <c r="K61" s="16" t="s">
        <v>67</v>
      </c>
      <c r="L61" s="16" t="s">
        <v>71</v>
      </c>
      <c r="M61" s="16" t="s">
        <v>55</v>
      </c>
      <c r="N61" s="17" t="s">
        <v>85</v>
      </c>
    </row>
    <row r="62" spans="1:14" x14ac:dyDescent="0.3">
      <c r="A62" s="13">
        <v>46309</v>
      </c>
      <c r="B62" s="14">
        <v>300</v>
      </c>
      <c r="C62" s="14">
        <v>0</v>
      </c>
      <c r="D62" s="14">
        <v>250</v>
      </c>
      <c r="E62" s="14">
        <v>0</v>
      </c>
      <c r="F62" s="14">
        <v>0</v>
      </c>
      <c r="G62" s="14">
        <v>0</v>
      </c>
      <c r="H62" s="14">
        <v>150</v>
      </c>
      <c r="I62" s="15">
        <f t="shared" ref="I62" si="4">IF(SUM(B62:F62,H62)=0,"",SUM(B62:F62,H62))</f>
        <v>700</v>
      </c>
      <c r="J62" s="15">
        <f t="shared" ref="J62" si="5">IF(I62="","",1440-I62)</f>
        <v>740</v>
      </c>
      <c r="K62" s="16" t="s">
        <v>67</v>
      </c>
      <c r="L62" s="16" t="s">
        <v>71</v>
      </c>
      <c r="M62" s="16" t="s">
        <v>75</v>
      </c>
      <c r="N62" s="17" t="s">
        <v>86</v>
      </c>
    </row>
    <row r="63" spans="1:14" x14ac:dyDescent="0.3">
      <c r="A63" s="13">
        <v>46310</v>
      </c>
      <c r="B63" s="14">
        <v>480</v>
      </c>
      <c r="C63" s="14">
        <v>0</v>
      </c>
      <c r="D63" s="14">
        <v>150</v>
      </c>
      <c r="E63" s="14">
        <v>0</v>
      </c>
      <c r="F63" s="14">
        <v>0</v>
      </c>
      <c r="G63" s="14">
        <v>0</v>
      </c>
      <c r="H63" s="14">
        <v>250</v>
      </c>
      <c r="I63" s="15">
        <f t="shared" ref="I63" si="6">IF(SUM(B63:F63,H63)=0,"",SUM(B63:F63,H63))</f>
        <v>880</v>
      </c>
      <c r="J63" s="15">
        <f t="shared" ref="J63" si="7">IF(I63="","",1440-I63)</f>
        <v>560</v>
      </c>
      <c r="K63" s="16" t="s">
        <v>67</v>
      </c>
      <c r="L63" s="16" t="s">
        <v>71</v>
      </c>
      <c r="M63" s="16" t="s">
        <v>75</v>
      </c>
      <c r="N63" s="17" t="s">
        <v>63</v>
      </c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2026-10-15T17:11:21Z</dcterms:modified>
  <dc:language>en-US</dc:language>
</cp:coreProperties>
</file>